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mpark/Documents/개인자료/법인 - 베를로/1. Project/202601 - 일지테크 - Total infra/"/>
    </mc:Choice>
  </mc:AlternateContent>
  <xr:revisionPtr revIDLastSave="0" documentId="13_ncr:1_{F5FD033A-12DA-784C-9F36-527E1DED5EF1}" xr6:coauthVersionLast="47" xr6:coauthVersionMax="47" xr10:uidLastSave="{00000000-0000-0000-0000-000000000000}"/>
  <bookViews>
    <workbookView xWindow="0" yWindow="0" windowWidth="33600" windowHeight="21000" xr2:uid="{1E4129A2-C8E7-40A6-8830-34A80A5C2992}"/>
  </bookViews>
  <sheets>
    <sheet name="Updated Sercurity Checklist (2)" sheetId="2" r:id="rId1"/>
  </sheets>
  <definedNames>
    <definedName name="_xlnm._FilterDatabase" localSheetId="0" hidden="1">'Updated Sercurity Checklist (2)'!$B$3:$O$59</definedName>
    <definedName name="도면권한상태">#REF!</definedName>
    <definedName name="점검체크리스트_조정안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2" l="1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B5" i="2"/>
  <c r="K5" i="2"/>
  <c r="B6" i="2"/>
  <c r="K6" i="2"/>
  <c r="B7" i="2"/>
  <c r="K7" i="2"/>
  <c r="B8" i="2"/>
  <c r="K8" i="2"/>
  <c r="B9" i="2"/>
  <c r="K9" i="2"/>
  <c r="B10" i="2"/>
  <c r="K10" i="2"/>
  <c r="B11" i="2"/>
  <c r="K11" i="2"/>
  <c r="B12" i="2"/>
  <c r="K12" i="2"/>
  <c r="B13" i="2"/>
  <c r="K13" i="2"/>
  <c r="B14" i="2"/>
  <c r="K14" i="2"/>
  <c r="B15" i="2"/>
  <c r="K15" i="2"/>
  <c r="B16" i="2"/>
  <c r="K16" i="2"/>
  <c r="B17" i="2"/>
  <c r="K17" i="2"/>
  <c r="B18" i="2"/>
  <c r="K18" i="2"/>
  <c r="B19" i="2"/>
  <c r="K19" i="2"/>
  <c r="B20" i="2"/>
  <c r="K20" i="2"/>
  <c r="B21" i="2"/>
  <c r="K21" i="2"/>
  <c r="B22" i="2"/>
  <c r="K22" i="2"/>
  <c r="B23" i="2"/>
  <c r="K23" i="2"/>
  <c r="B24" i="2"/>
  <c r="K24" i="2"/>
  <c r="H54" i="2"/>
  <c r="B25" i="2"/>
  <c r="K25" i="2"/>
  <c r="B26" i="2"/>
  <c r="K26" i="2"/>
  <c r="B27" i="2"/>
  <c r="K27" i="2"/>
  <c r="B28" i="2"/>
  <c r="K28" i="2"/>
  <c r="B29" i="2"/>
  <c r="K29" i="2"/>
  <c r="B30" i="2"/>
  <c r="K30" i="2"/>
  <c r="B31" i="2"/>
  <c r="K31" i="2"/>
  <c r="B32" i="2"/>
  <c r="K32" i="2"/>
  <c r="K33" i="2"/>
  <c r="H58" i="2" s="1"/>
  <c r="K34" i="2"/>
  <c r="H52" i="2" s="1"/>
  <c r="K35" i="2" l="1"/>
  <c r="J58" i="2"/>
  <c r="J54" i="2"/>
  <c r="H55" i="2"/>
  <c r="J55" i="2" s="1"/>
  <c r="H51" i="2"/>
  <c r="J51" i="2" s="1"/>
  <c r="H49" i="2"/>
  <c r="J49" i="2" s="1"/>
  <c r="H42" i="2"/>
  <c r="J42" i="2" s="1"/>
  <c r="H56" i="2"/>
  <c r="J56" i="2" s="1"/>
  <c r="H37" i="2"/>
  <c r="J37" i="2" s="1"/>
  <c r="H41" i="2"/>
  <c r="J41" i="2" s="1"/>
  <c r="H48" i="2"/>
  <c r="J48" i="2" s="1"/>
  <c r="H59" i="2"/>
  <c r="J59" i="2" s="1"/>
  <c r="H38" i="2"/>
  <c r="J38" i="2" s="1"/>
  <c r="H45" i="2"/>
  <c r="J45" i="2" s="1"/>
  <c r="H39" i="2"/>
  <c r="J39" i="2" s="1"/>
  <c r="H47" i="2"/>
  <c r="J47" i="2" s="1"/>
  <c r="H46" i="2"/>
  <c r="J46" i="2" s="1"/>
  <c r="H40" i="2"/>
  <c r="J40" i="2" s="1"/>
  <c r="H36" i="2"/>
  <c r="J36" i="2" s="1"/>
  <c r="H50" i="2"/>
  <c r="J50" i="2" s="1"/>
  <c r="H57" i="2"/>
  <c r="J57" i="2" s="1"/>
  <c r="H43" i="2"/>
  <c r="J43" i="2" s="1"/>
  <c r="H44" i="2"/>
  <c r="J44" i="2" s="1"/>
  <c r="H53" i="2"/>
  <c r="J53" i="2" s="1"/>
  <c r="J52" i="2"/>
</calcChain>
</file>

<file path=xl/sharedStrings.xml><?xml version="1.0" encoding="utf-8"?>
<sst xmlns="http://schemas.openxmlformats.org/spreadsheetml/2006/main" count="340" uniqueCount="145">
  <si>
    <t>O: Incident response plan with HMMA contact points and notification procedure
△: Having partial omission in HMMA contacts or notification procedure</t>
  </si>
  <si>
    <t>N/A</t>
  </si>
  <si>
    <t>O</t>
  </si>
  <si>
    <t>⑦Incident Analysis and Response</t>
  </si>
  <si>
    <t>Policy and Procedure</t>
  </si>
  <si>
    <t>Direct Connection</t>
  </si>
  <si>
    <t>O: Both EDR and Anti-Virus solutions are installed on all HMMA-facing PCs and servers
△: Having partial omissions in deploying EDR and Anti-Virus solutions</t>
  </si>
  <si>
    <t>③Malware Infection Prevention</t>
  </si>
  <si>
    <t>System Management</t>
  </si>
  <si>
    <t>O: Performing backups at least once per quarter.
△: Having partial omissions in backups or performing backups less than once per quarter.</t>
    <phoneticPr fontId="0" type="noConversion"/>
  </si>
  <si>
    <t>Only firewall config is backed up</t>
  </si>
  <si>
    <t>X</t>
  </si>
  <si>
    <t>△</t>
  </si>
  <si>
    <t>⑥System Recovery</t>
  </si>
  <si>
    <t>Backup Management</t>
  </si>
  <si>
    <t>Data backup</t>
    <phoneticPr fontId="0" type="noConversion"/>
  </si>
  <si>
    <t>O: Conducting disaster recovery training at least once per year.
△: Establishing a disaster recovery plan and conducting training at least once.</t>
    <phoneticPr fontId="0" type="noConversion"/>
  </si>
  <si>
    <t>Backups tested monthly, but recovery not tested</t>
  </si>
  <si>
    <t>O: Configuring file system permissions on backup storage to remove execution rights (allowing only read and overwrite access).
△: Having some deficiencies in configuring file system permissions for backup storage.</t>
    <phoneticPr fontId="0" type="noConversion"/>
  </si>
  <si>
    <t>O: Using encrypted protocols (e.g., SSL, TLS, SFTP) or dedicated backup networks.
△: Having some deficiencies, such as using insecure protocols (e.g., SMB).</t>
    <phoneticPr fontId="0" type="noConversion"/>
  </si>
  <si>
    <t>O: Storing backup data in a physically secure environment with access control (e.g., spatial separation, network access management, locking mechanisms).
△: Having partial deficiencies in physical security and access control for backup data storage.</t>
    <phoneticPr fontId="0" type="noConversion"/>
  </si>
  <si>
    <t>Stored on offline servers</t>
  </si>
  <si>
    <t>O: Conducting integrity verification of backup data (e.g., hash value checks).
△: Having partial omissions inConducting integrity verification of backup data</t>
    <phoneticPr fontId="0" type="noConversion"/>
  </si>
  <si>
    <t>Backup done monthly</t>
  </si>
  <si>
    <t>O: Ensuring backup is performed with physical/logical separation.
△: Performing backups without separation, posing a risk of infection.</t>
    <phoneticPr fontId="0" type="noConversion"/>
  </si>
  <si>
    <t>Biweekly backups</t>
  </si>
  <si>
    <t>O: Establishing specific and valid backup objectives (RTO, RPO, etc.).
△: Having a backup framework in place but with some deficiencies.</t>
    <phoneticPr fontId="0" type="noConversion"/>
  </si>
  <si>
    <t>Outdated</t>
  </si>
  <si>
    <t>②Unauthorized External Access Defense</t>
  </si>
  <si>
    <t>⑤Information Leakage Prevention</t>
  </si>
  <si>
    <t>O: Establishing detection criteria and immediately verifying and responding to alerts.
△: Establishing detection criteria with alert notifications enabled.</t>
    <phoneticPr fontId="0" type="noConversion"/>
  </si>
  <si>
    <t>Only alert from Crowdstrike is sent out to ITAC</t>
  </si>
  <si>
    <t>①Intrusion Threat Detection</t>
  </si>
  <si>
    <t>Security Monitoring</t>
  </si>
  <si>
    <t>Security system</t>
  </si>
  <si>
    <t>O: Integrating all security systems with security monitoring, including those for intrusion detection and prevention.
△: Some intrusion detection and prevention security systems are not integrated with security monitoring.</t>
    <phoneticPr fontId="0" type="noConversion"/>
  </si>
  <si>
    <t>No network security logs are actively monitored
Crowdstrike is monitored by Packetwatch</t>
  </si>
  <si>
    <t>O: Reviewing system and security logs from security solutions at least once a month.
△: Reviewing security logs at least once per quarter or semi-annually.</t>
    <phoneticPr fontId="0" type="noConversion"/>
  </si>
  <si>
    <t>No regular monitoring - only by events. No events are assigned so appears as no one is actually reviewing them</t>
  </si>
  <si>
    <t>Log Management</t>
  </si>
  <si>
    <t>O: Centrally managing security system logs (with a log management solution in place, including firewall, antivirus, and DLP).
△: Centrally managing security system logs with a log management solution, but with some missing logs.</t>
    <phoneticPr fontId="0" type="noConversion"/>
  </si>
  <si>
    <t>No SIEM implemented but Auvik collects network logs</t>
  </si>
  <si>
    <t>O: Retaining event logs for at least one year.
△: Having partial omissions or retaining logs for less than one year.</t>
    <phoneticPr fontId="0" type="noConversion"/>
  </si>
  <si>
    <t>No NAC implemented</t>
  </si>
  <si>
    <t>Network Access Contro</t>
  </si>
  <si>
    <t>O: Enforcing security solution installation via system automation.
△: Installing the security solution manually.</t>
    <phoneticPr fontId="0" type="noConversion"/>
  </si>
  <si>
    <t>O: Controlling network access through systems such as NAC and IP scanning.
△: Managing network access with some manual restrictions (e.g., manually opening IP/Port upon request).</t>
    <phoneticPr fontId="0" type="noConversion"/>
  </si>
  <si>
    <t>No DLP implemented</t>
  </si>
  <si>
    <t>Data Loss Prevention</t>
  </si>
  <si>
    <t>O: Implementing a Data Loss Prevention (DLP) system with an alert function for large-scale internal data transfers.
△: Not configuring alerts for data transfers or missing DLP application on some devices.</t>
    <phoneticPr fontId="0" type="noConversion"/>
  </si>
  <si>
    <t>No device control or monitoring (Only automatic scans)</t>
  </si>
  <si>
    <t>Device Control</t>
  </si>
  <si>
    <t>O: Controlling all departments or enforcing the use of secure USBs.
△: Controlling only some departments</t>
    <phoneticPr fontId="0" type="noConversion"/>
  </si>
  <si>
    <t>No application control or monitoring</t>
  </si>
  <si>
    <t>Software Control</t>
  </si>
  <si>
    <t>O: Managing control status (software blocking policies, exception cases) and ensuring visibility on the administrator dashboard.
△: Having partial omissions in control status management.</t>
    <phoneticPr fontId="0" type="noConversion"/>
  </si>
  <si>
    <t xml:space="preserve">O: Retaining event logs on the central management server for at least one year.
△: Having partial omissions or retaining event logs for less than one year (including local PCs). </t>
    <phoneticPr fontId="0" type="noConversion"/>
  </si>
  <si>
    <t>No files are retained, only logs are searchable through crowdstrike console. Also, need a verification from Alyac</t>
  </si>
  <si>
    <t>Anti-Virus</t>
    <phoneticPr fontId="0" type="noConversion"/>
  </si>
  <si>
    <t>O: Ensuring that server-based AntiVirus or EDR solutions cannot be uninstalled or disabled (Self-Protection enabled).
△: Having partial omissions in applying self-protection features.</t>
    <phoneticPr fontId="0" type="noConversion"/>
  </si>
  <si>
    <t>O: Configuring regular malware scans on all servers and management PCs at least once per day.
△: Having partial omissions or scanning less than once per day.</t>
    <phoneticPr fontId="0" type="noConversion"/>
  </si>
  <si>
    <t>Scan scheduled at lunch daily</t>
  </si>
  <si>
    <t>O: Applying antivirus engine updates on all servers and management PCs at least once a week.
△: Having partial omissions or updating less than once per week.</t>
    <phoneticPr fontId="0" type="noConversion"/>
  </si>
  <si>
    <t>No regular engine update verification procedure</t>
  </si>
  <si>
    <t>O: Applying to all servers and PCs.
△: Partially omitted in application to servers or PCs.</t>
    <phoneticPr fontId="0" type="noConversion"/>
  </si>
  <si>
    <t>Using Crowdstrike and Alyac
Need additional evidence to see the list of assets and the installation status (Alyac and Crowdstrike)</t>
  </si>
  <si>
    <t>O: Retaining event logs for at least one year.
△: Retaining event logs with some missing records or for less than one year.</t>
    <phoneticPr fontId="0" type="noConversion"/>
  </si>
  <si>
    <t>Logs retained for less than 1 year</t>
  </si>
  <si>
    <t>Anti-Spam</t>
  </si>
  <si>
    <t>O: Controlling spam and virus email inflow through a dedicated spam mail system (with a separate spam filtering solution in place).
△: Applying spam and virus control features provided by webmail services (excluding commercial webmail).</t>
    <phoneticPr fontId="0" type="noConversion"/>
  </si>
  <si>
    <t>Using SPAMOUT email filtering system, but controlled by HQ. No control over the tool</t>
  </si>
  <si>
    <t>Reason for Inspection Results</t>
    <phoneticPr fontId="0" type="noConversion"/>
  </si>
  <si>
    <t>Results</t>
    <phoneticPr fontId="0" type="noConversion"/>
  </si>
  <si>
    <t>Server</t>
  </si>
  <si>
    <t>Production</t>
  </si>
  <si>
    <t>Office</t>
  </si>
  <si>
    <t>Internet
(VPN,F/W,DMZ)</t>
  </si>
  <si>
    <t>Specific details</t>
    <phoneticPr fontId="0" type="noConversion"/>
  </si>
  <si>
    <t>Item</t>
    <phoneticPr fontId="0" type="noConversion"/>
  </si>
  <si>
    <t>Soultion</t>
    <phoneticPr fontId="0" type="noConversion"/>
  </si>
  <si>
    <t>Category</t>
    <phoneticPr fontId="0" type="noConversion"/>
  </si>
  <si>
    <t>No</t>
    <phoneticPr fontId="0" type="noConversion"/>
  </si>
  <si>
    <t>Remark</t>
    <phoneticPr fontId="0" type="noConversion"/>
  </si>
  <si>
    <t>Assessment Criteria</t>
    <phoneticPr fontId="0" type="noConversion"/>
  </si>
  <si>
    <t>Inspection result</t>
    <phoneticPr fontId="0" type="noConversion"/>
  </si>
  <si>
    <t>Chae, Adam, Cody</t>
  </si>
  <si>
    <t>Auditor</t>
    <phoneticPr fontId="0" type="noConversion"/>
  </si>
  <si>
    <t>August 19, 2025</t>
  </si>
  <si>
    <t>Date</t>
    <phoneticPr fontId="0" type="noConversion"/>
  </si>
  <si>
    <t>ITAC</t>
  </si>
  <si>
    <t>Company</t>
    <phoneticPr fontId="0" type="noConversion"/>
  </si>
  <si>
    <t xml:space="preserve">▣ Cybersecurity Incident Prevention Measures Checklist for Supplier </t>
    <phoneticPr fontId="0" type="noConversion"/>
  </si>
  <si>
    <t>Account</t>
    <phoneticPr fontId="6" type="noConversion"/>
  </si>
  <si>
    <t>Anti-Spam</t>
    <phoneticPr fontId="6" type="noConversion"/>
  </si>
  <si>
    <t>Anti-Virus</t>
    <phoneticPr fontId="6" type="noConversion"/>
  </si>
  <si>
    <t>Authorization</t>
    <phoneticPr fontId="6" type="noConversion"/>
  </si>
  <si>
    <t>Backup Management</t>
    <phoneticPr fontId="6" type="noConversion"/>
  </si>
  <si>
    <t>Configuration</t>
    <phoneticPr fontId="6" type="noConversion"/>
  </si>
  <si>
    <t>Data Loss Prevention</t>
    <phoneticPr fontId="6" type="noConversion"/>
  </si>
  <si>
    <t>Database Encryption</t>
    <phoneticPr fontId="6" type="noConversion"/>
  </si>
  <si>
    <t>Device Control</t>
    <phoneticPr fontId="6" type="noConversion"/>
  </si>
  <si>
    <t>Document Encryption</t>
    <phoneticPr fontId="6" type="noConversion"/>
  </si>
  <si>
    <t>Firewall</t>
    <phoneticPr fontId="6" type="noConversion"/>
  </si>
  <si>
    <t>Log Management</t>
    <phoneticPr fontId="6" type="noConversion"/>
  </si>
  <si>
    <t>Network Access contro</t>
    <phoneticPr fontId="6" type="noConversion"/>
  </si>
  <si>
    <t>Network Configuration</t>
    <phoneticPr fontId="6" type="noConversion"/>
  </si>
  <si>
    <t>Network Segmentation</t>
    <phoneticPr fontId="6" type="noConversion"/>
  </si>
  <si>
    <t>Policy and Procedure</t>
    <phoneticPr fontId="6" type="noConversion"/>
  </si>
  <si>
    <t>Privilege</t>
    <phoneticPr fontId="6" type="noConversion"/>
  </si>
  <si>
    <t>Redundancy</t>
    <phoneticPr fontId="6" type="noConversion"/>
  </si>
  <si>
    <t>Security Monitoring</t>
    <phoneticPr fontId="6" type="noConversion"/>
  </si>
  <si>
    <t>Software control</t>
    <phoneticPr fontId="6" type="noConversion"/>
  </si>
  <si>
    <t>System Access Control</t>
    <phoneticPr fontId="6" type="noConversion"/>
  </si>
  <si>
    <t>System Management</t>
    <phoneticPr fontId="6" type="noConversion"/>
  </si>
  <si>
    <t>VPN</t>
    <phoneticPr fontId="6" type="noConversion"/>
  </si>
  <si>
    <t>Operating System</t>
    <phoneticPr fontId="6" type="noConversion"/>
  </si>
  <si>
    <t>이벤트 로그와 감사 로그는 지정된 기간(최소 1년) 동안 보존됩니까?</t>
    <phoneticPr fontId="6" type="noConversion"/>
  </si>
  <si>
    <t>스팸 메일과 바이러스에 감염된 이메일이 내부 네트워크로 유입되는 것을 차단하는 정책이 마련되어 있습니까?</t>
    <phoneticPr fontId="6" type="noConversion"/>
  </si>
  <si>
    <t>조직 내 모든 PC와 서버에 안티바이러스 및 EDR과 같은 악성코드 탐지 솔루션이 설치되어 실행 중입니까?</t>
    <phoneticPr fontId="6" type="noConversion"/>
  </si>
  <si>
    <t>바이러스 백신 엔진은 정기적으로 업데이트됩니까?</t>
    <phoneticPr fontId="6" type="noConversion"/>
  </si>
  <si>
    <t>바이러스 백신 및 EDR 솔루션을 사용하여 주기적인 검사가 수행됩니까?</t>
    <phoneticPr fontId="6" type="noConversion"/>
  </si>
  <si>
    <t>바이러스 백신 및 EDR 프로그램이 임의로 제거되거나 비활성화되지 않도록 보장됩니까?</t>
    <phoneticPr fontId="6" type="noConversion"/>
  </si>
  <si>
    <t>악성코드 탐지 로그와 격리된 파일은 지정된 기간(최소 1년) 동안 보관됩니까?</t>
    <phoneticPr fontId="6" type="noConversion"/>
  </si>
  <si>
    <t>조직 내에서 승인되지 않은 소프트웨어 사용은 감시 및 통제되고 있습니까?</t>
    <phoneticPr fontId="6" type="noConversion"/>
  </si>
  <si>
    <t>무단 소프트웨어 탐지/차단 로그 및 감사 로그(정책 변경, 권한 변경 등)는 지정된 기간(최소 1년) 동안 보관됩니까?</t>
    <phoneticPr fontId="6" type="noConversion"/>
  </si>
  <si>
    <t>조직 내 저장 매체 사용은 통제되고 있습니까?</t>
    <phoneticPr fontId="6" type="noConversion"/>
  </si>
  <si>
    <t>저장 매체 차단/사용 로그 및 감사 로그(정책 변경, 권한 변경 등)는 지정된 기간(최소 1년) 동안 보존됩니까?</t>
    <phoneticPr fontId="6" type="noConversion"/>
  </si>
  <si>
    <t>내부 데이터의 외부 유출을 감지하기 위해 데이터 손실 방지(DLP) 시스템이 구현되어 있습니까?</t>
    <phoneticPr fontId="6" type="noConversion"/>
  </si>
  <si>
    <t>대용량 첨부 파일(예: 50MB 이상) 전송 기록은 지정된 기간(최소 1년) 동안 보관됩니까?</t>
    <phoneticPr fontId="6" type="noConversion"/>
  </si>
  <si>
    <t>조직 내에서 승인되지 않은 장치의 접근을 제한하기 위해 네트워크 접근 제어가 시행되고 있습니까?</t>
    <phoneticPr fontId="6" type="noConversion"/>
  </si>
  <si>
    <t>보안 프로그램 설치가 필수이며, 해당 프로그램이 설치되지 않은 경우 네트워크 접속이 차단됩니까?</t>
    <phoneticPr fontId="6" type="noConversion"/>
  </si>
  <si>
    <t>다양한 보안 솔루션의 이벤트 로그와 감사 로그는 중앙에서 관리됩니까?</t>
    <phoneticPr fontId="6" type="noConversion"/>
  </si>
  <si>
    <t>시스템 및 보안 로그는 정기적으로 검토됩니까?</t>
    <phoneticPr fontId="6" type="noConversion"/>
  </si>
  <si>
    <t>보안 시스템 로그(예: 방화벽, VPN, IPS, WAF)가 보안 모니터링과 통합되어 있습니까?</t>
    <phoneticPr fontId="6" type="noConversion"/>
  </si>
  <si>
    <t>이상 징후 탐지 기준이 설정되어 있고, 이상 징후가 감지되는 즉시 관리자에게 이메일이나 SMS로 알림을 보내는 경보 시스템이 구성되어 있습니까?</t>
    <phoneticPr fontId="0" type="noConversion"/>
  </si>
  <si>
    <t>복구 우선순위와 복구 목표가 수립되었습니까?</t>
    <phoneticPr fontId="6" type="noConversion"/>
  </si>
  <si>
    <t>핵심 애플리케이션, 데이터베이스 및 중요 파일은 매일 또는 정기적으로 백업됩니까?</t>
    <phoneticPr fontId="0" type="noConversion"/>
  </si>
  <si>
    <t>백업 데이터의 무결성은 정기적으로 검증됩니까?</t>
    <phoneticPr fontId="6" type="noConversion"/>
  </si>
  <si>
    <t>백업 데이터는 안전한 저장소에 저장됩니까?</t>
    <phoneticPr fontId="6" type="noConversion"/>
  </si>
  <si>
    <t>백업 데이터는 전용 백업 네트워크 또는 암호화 프로토콜을 통해 전송됩니까?</t>
    <phoneticPr fontId="6" type="noConversion"/>
  </si>
  <si>
    <t>백업 데이터 저장소 내에서 파일 실행 권한이 제한되어 있습니까?</t>
    <phoneticPr fontId="6" type="noConversion"/>
  </si>
  <si>
    <t>백업 및 복구 테스트는 정기적으로 계획되고 실행됩니까?</t>
    <phoneticPr fontId="0" type="noConversion"/>
  </si>
  <si>
    <t>보안 솔루션 구성 및 보안 정책은 정기적으로 백업됩니까?</t>
    <phoneticPr fontId="6" type="noConversion"/>
  </si>
  <si>
    <t>모든 서버에 EDR 및 바이러스 백신이 설치 및 모니터링되고 있으며 HMMA와 직접 연결되어 있습니까?</t>
    <phoneticPr fontId="6" type="noConversion"/>
  </si>
  <si>
    <t>사고 대응 정책/절차에 대한 최신 HMMA 담당자 연락처가 있습니까? (사고 발생 시 HMMA 구매 부서에 연락해야 합니다.)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</si>
</sst>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29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"/>
      <family val="3"/>
      <charset val="129"/>
      <scheme val="minor"/>
    </font>
    <font>
      <sz val="12"/>
      <color rgb="FF0070C0"/>
      <name val="Aptos Narrow"/>
      <family val="2"/>
      <scheme val="minor"/>
    </font>
    <font>
      <sz val="12"/>
      <color theme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>
      <alignment vertical="center"/>
    </xf>
    <xf numFmtId="0" fontId="1" fillId="0" borderId="0"/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0" fontId="3" fillId="0" borderId="0" xfId="1" applyFo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49" fontId="3" fillId="0" borderId="1" xfId="2" applyNumberFormat="1" applyFont="1" applyBorder="1" applyAlignment="1" applyProtection="1">
      <alignment horizontal="left" vertical="center" wrapText="1"/>
      <protection locked="0"/>
    </xf>
    <xf numFmtId="0" fontId="3" fillId="0" borderId="1" xfId="1" applyFont="1" applyBorder="1" applyAlignment="1">
      <alignment vertical="center" wrapText="1"/>
    </xf>
    <xf numFmtId="9" fontId="3" fillId="2" borderId="1" xfId="3" applyFont="1" applyFill="1" applyBorder="1" applyAlignment="1">
      <alignment horizontal="center" vertical="center"/>
    </xf>
    <xf numFmtId="0" fontId="3" fillId="2" borderId="1" xfId="2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vertical="center" wrapText="1"/>
    </xf>
    <xf numFmtId="0" fontId="4" fillId="4" borderId="1" xfId="2" applyFont="1" applyFill="1" applyBorder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49" fontId="3" fillId="6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7" borderId="1" xfId="4" applyFont="1" applyFill="1" applyBorder="1" applyAlignment="1" applyProtection="1">
      <alignment horizontal="center" vertical="center"/>
      <protection hidden="1"/>
    </xf>
    <xf numFmtId="0" fontId="4" fillId="0" borderId="0" xfId="1" applyFont="1">
      <alignment vertical="center"/>
    </xf>
    <xf numFmtId="9" fontId="3" fillId="0" borderId="0" xfId="5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9" fontId="8" fillId="0" borderId="0" xfId="5" applyFont="1" applyAlignment="1">
      <alignment vertical="center" wrapText="1"/>
    </xf>
    <xf numFmtId="0" fontId="8" fillId="0" borderId="0" xfId="1" applyFont="1">
      <alignment vertical="center"/>
    </xf>
    <xf numFmtId="0" fontId="8" fillId="0" borderId="0" xfId="1" applyFont="1" applyAlignment="1">
      <alignment horizontal="center" vertical="center" wrapText="1"/>
    </xf>
    <xf numFmtId="9" fontId="3" fillId="0" borderId="0" xfId="5" applyFont="1">
      <alignment vertical="center"/>
    </xf>
    <xf numFmtId="9" fontId="7" fillId="0" borderId="0" xfId="5" applyFont="1">
      <alignment vertical="center"/>
    </xf>
    <xf numFmtId="0" fontId="8" fillId="0" borderId="0" xfId="1" applyFont="1" applyAlignment="1">
      <alignment vertical="center" wrapText="1"/>
    </xf>
    <xf numFmtId="9" fontId="8" fillId="0" borderId="0" xfId="5" applyFont="1">
      <alignment vertical="center"/>
    </xf>
    <xf numFmtId="9" fontId="3" fillId="3" borderId="0" xfId="1" applyNumberFormat="1" applyFont="1" applyFill="1">
      <alignment vertical="center"/>
    </xf>
    <xf numFmtId="0" fontId="9" fillId="0" borderId="1" xfId="1" applyFont="1" applyBorder="1" applyAlignment="1">
      <alignment vertical="center" wrapText="1"/>
    </xf>
    <xf numFmtId="0" fontId="10" fillId="0" borderId="1" xfId="1" applyFont="1" applyBorder="1" applyAlignment="1">
      <alignment vertical="center" wrapText="1"/>
    </xf>
    <xf numFmtId="0" fontId="3" fillId="0" borderId="1" xfId="1" applyFont="1" applyBorder="1" applyAlignment="1" applyProtection="1">
      <alignment horizontal="center" vertical="center" wrapText="1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49" fontId="3" fillId="6" borderId="1" xfId="4" applyNumberFormat="1" applyFont="1" applyFill="1" applyBorder="1" applyAlignment="1" applyProtection="1">
      <alignment horizontal="center" vertical="center" wrapText="1"/>
      <protection locked="0"/>
    </xf>
    <xf numFmtId="0" fontId="4" fillId="4" borderId="1" xfId="2" applyFont="1" applyFill="1" applyBorder="1" applyAlignment="1">
      <alignment horizontal="center" vertical="center"/>
    </xf>
    <xf numFmtId="0" fontId="4" fillId="4" borderId="1" xfId="4" applyFont="1" applyFill="1" applyBorder="1" applyAlignment="1" applyProtection="1">
      <alignment horizontal="center" vertical="center"/>
      <protection hidden="1"/>
    </xf>
    <xf numFmtId="0" fontId="4" fillId="4" borderId="1" xfId="2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8EB9B334-CD77-442E-8EDD-03C169A63975}"/>
    <cellStyle name="Percent" xfId="5" builtinId="5"/>
    <cellStyle name="Percent 2" xfId="3" xr:uid="{B1F46D38-1C65-4758-A435-4544D7E065C8}"/>
    <cellStyle name="표준 3" xfId="4" xr:uid="{BDF50833-14B2-4DFF-8CC2-986FA5309348}"/>
    <cellStyle name="표준 5" xfId="2" xr:uid="{9006A000-B8FD-4498-86DA-579605077F70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b val="0"/>
        <i/>
      </font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86B9-0541-417B-A78F-1155184C9D2E}">
  <dimension ref="B1:O59"/>
  <sheetViews>
    <sheetView tabSelected="1" zoomScale="139" zoomScaleNormal="7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F6" sqref="F6"/>
    </sheetView>
  </sheetViews>
  <sheetFormatPr baseColWidth="10" defaultColWidth="10" defaultRowHeight="16" x14ac:dyDescent="0.2"/>
  <cols>
    <col min="1" max="1" width="2.6640625" style="1" customWidth="1"/>
    <col min="2" max="2" width="5.33203125" style="1" bestFit="1" customWidth="1"/>
    <col min="3" max="3" width="20.1640625" style="2" customWidth="1"/>
    <col min="4" max="4" width="23.83203125" style="3" customWidth="1"/>
    <col min="5" max="5" width="30.83203125" style="2" customWidth="1"/>
    <col min="6" max="6" width="84.6640625" style="2" customWidth="1"/>
    <col min="7" max="10" width="13" style="1" customWidth="1"/>
    <col min="11" max="11" width="9" style="1" customWidth="1"/>
    <col min="12" max="12" width="47" style="1" customWidth="1"/>
    <col min="13" max="13" width="7.33203125" style="1" customWidth="1"/>
    <col min="14" max="14" width="257" style="1" bestFit="1" customWidth="1"/>
    <col min="15" max="15" width="24" style="1" customWidth="1"/>
    <col min="16" max="16384" width="10" style="1"/>
  </cols>
  <sheetData>
    <row r="1" spans="2:15" ht="30.5" customHeight="1" x14ac:dyDescent="0.2">
      <c r="B1" s="21" t="s">
        <v>91</v>
      </c>
      <c r="G1" s="20" t="s">
        <v>90</v>
      </c>
      <c r="H1" s="37" t="s">
        <v>89</v>
      </c>
      <c r="I1" s="37"/>
      <c r="J1" s="37"/>
      <c r="K1" s="20" t="s">
        <v>88</v>
      </c>
      <c r="L1" s="19" t="s">
        <v>87</v>
      </c>
      <c r="M1" s="20" t="s">
        <v>86</v>
      </c>
      <c r="N1" s="37" t="s">
        <v>85</v>
      </c>
      <c r="O1" s="37"/>
    </row>
    <row r="2" spans="2:15" x14ac:dyDescent="0.2">
      <c r="B2" s="18"/>
      <c r="C2" s="16"/>
      <c r="D2" s="17"/>
      <c r="E2" s="16"/>
    </row>
    <row r="3" spans="2:15" x14ac:dyDescent="0.2">
      <c r="B3" s="15"/>
      <c r="C3" s="14"/>
      <c r="D3" s="14"/>
      <c r="E3" s="14"/>
      <c r="F3" s="14"/>
      <c r="G3" s="38" t="s">
        <v>84</v>
      </c>
      <c r="H3" s="38"/>
      <c r="I3" s="38"/>
      <c r="J3" s="38"/>
      <c r="K3" s="38"/>
      <c r="L3" s="38"/>
      <c r="M3" s="38"/>
      <c r="N3" s="39" t="s">
        <v>83</v>
      </c>
      <c r="O3" s="39" t="s">
        <v>82</v>
      </c>
    </row>
    <row r="4" spans="2:15" ht="51" x14ac:dyDescent="0.2">
      <c r="B4" s="15" t="s">
        <v>81</v>
      </c>
      <c r="C4" s="14" t="s">
        <v>80</v>
      </c>
      <c r="D4" s="14" t="s">
        <v>79</v>
      </c>
      <c r="E4" s="14" t="s">
        <v>78</v>
      </c>
      <c r="F4" s="14" t="s">
        <v>77</v>
      </c>
      <c r="G4" s="12" t="s">
        <v>76</v>
      </c>
      <c r="H4" s="12" t="s">
        <v>75</v>
      </c>
      <c r="I4" s="12" t="s">
        <v>74</v>
      </c>
      <c r="J4" s="12" t="s">
        <v>73</v>
      </c>
      <c r="K4" s="13" t="s">
        <v>72</v>
      </c>
      <c r="L4" s="40" t="s">
        <v>71</v>
      </c>
      <c r="M4" s="40"/>
      <c r="N4" s="39"/>
      <c r="O4" s="39"/>
    </row>
    <row r="5" spans="2:15" ht="42" customHeight="1" x14ac:dyDescent="0.2">
      <c r="B5" s="10">
        <f t="shared" ref="B5:B17" si="0">ROW()-4</f>
        <v>1</v>
      </c>
      <c r="C5" s="9" t="s">
        <v>34</v>
      </c>
      <c r="D5" s="9" t="s">
        <v>68</v>
      </c>
      <c r="E5" s="9" t="s">
        <v>7</v>
      </c>
      <c r="F5" s="5" t="s">
        <v>117</v>
      </c>
      <c r="G5" s="7" t="s">
        <v>12</v>
      </c>
      <c r="H5" s="7" t="s">
        <v>1</v>
      </c>
      <c r="I5" s="7" t="s">
        <v>1</v>
      </c>
      <c r="J5" s="7" t="s">
        <v>1</v>
      </c>
      <c r="K5" s="6">
        <f t="shared" ref="K5:K9" si="1">IFERROR((IF(G5="O",1,IF(G5="△",0.5,0))+IF(H5="O",1,IF(H5="△",0.5,0))+IF(I5="O",1,IF(I5="△",0.5,0))+IF(J5="O",1,IF(J5="△",0.5,0)))/(SUM(COUNTIF(G5:J5,"O"),COUNTIF(G5:J5,"△"),COUNTIF(G5:J5,"X"))),1)</f>
        <v>0.5</v>
      </c>
      <c r="L5" s="35" t="s">
        <v>70</v>
      </c>
      <c r="M5" s="35"/>
      <c r="N5" s="5" t="s">
        <v>69</v>
      </c>
      <c r="O5" s="4"/>
    </row>
    <row r="6" spans="2:15" ht="42" customHeight="1" x14ac:dyDescent="0.2">
      <c r="B6" s="10">
        <f t="shared" si="0"/>
        <v>2</v>
      </c>
      <c r="C6" s="9" t="s">
        <v>34</v>
      </c>
      <c r="D6" s="9" t="s">
        <v>68</v>
      </c>
      <c r="E6" s="8" t="s">
        <v>3</v>
      </c>
      <c r="F6" s="5" t="s">
        <v>116</v>
      </c>
      <c r="G6" s="7" t="s">
        <v>12</v>
      </c>
      <c r="H6" s="7" t="s">
        <v>1</v>
      </c>
      <c r="I6" s="7" t="s">
        <v>1</v>
      </c>
      <c r="J6" s="7" t="s">
        <v>1</v>
      </c>
      <c r="K6" s="6">
        <f t="shared" si="1"/>
        <v>0.5</v>
      </c>
      <c r="L6" s="35" t="s">
        <v>67</v>
      </c>
      <c r="M6" s="35"/>
      <c r="N6" s="5" t="s">
        <v>66</v>
      </c>
      <c r="O6" s="4"/>
    </row>
    <row r="7" spans="2:15" ht="42" customHeight="1" x14ac:dyDescent="0.2">
      <c r="B7" s="10">
        <f t="shared" si="0"/>
        <v>3</v>
      </c>
      <c r="C7" s="9" t="s">
        <v>34</v>
      </c>
      <c r="D7" s="9" t="s">
        <v>58</v>
      </c>
      <c r="E7" s="9" t="s">
        <v>7</v>
      </c>
      <c r="F7" s="33" t="s">
        <v>118</v>
      </c>
      <c r="G7" s="7" t="s">
        <v>1</v>
      </c>
      <c r="H7" s="7" t="s">
        <v>12</v>
      </c>
      <c r="I7" s="7" t="s">
        <v>12</v>
      </c>
      <c r="J7" s="7" t="s">
        <v>12</v>
      </c>
      <c r="K7" s="6">
        <f t="shared" si="1"/>
        <v>0.5</v>
      </c>
      <c r="L7" s="35" t="s">
        <v>65</v>
      </c>
      <c r="M7" s="35"/>
      <c r="N7" s="5" t="s">
        <v>64</v>
      </c>
      <c r="O7" s="4"/>
    </row>
    <row r="8" spans="2:15" ht="42" customHeight="1" x14ac:dyDescent="0.2">
      <c r="B8" s="10">
        <f t="shared" si="0"/>
        <v>4</v>
      </c>
      <c r="C8" s="9" t="s">
        <v>34</v>
      </c>
      <c r="D8" s="9" t="s">
        <v>58</v>
      </c>
      <c r="E8" s="9" t="s">
        <v>7</v>
      </c>
      <c r="F8" s="33" t="s">
        <v>119</v>
      </c>
      <c r="G8" s="7" t="s">
        <v>1</v>
      </c>
      <c r="H8" s="7" t="s">
        <v>12</v>
      </c>
      <c r="I8" s="7" t="s">
        <v>12</v>
      </c>
      <c r="J8" s="7" t="s">
        <v>12</v>
      </c>
      <c r="K8" s="6">
        <f t="shared" si="1"/>
        <v>0.5</v>
      </c>
      <c r="L8" s="35" t="s">
        <v>63</v>
      </c>
      <c r="M8" s="35"/>
      <c r="N8" s="5" t="s">
        <v>62</v>
      </c>
      <c r="O8" s="4"/>
    </row>
    <row r="9" spans="2:15" ht="42" customHeight="1" x14ac:dyDescent="0.2">
      <c r="B9" s="10">
        <f t="shared" si="0"/>
        <v>5</v>
      </c>
      <c r="C9" s="9" t="s">
        <v>34</v>
      </c>
      <c r="D9" s="9" t="s">
        <v>58</v>
      </c>
      <c r="E9" s="9" t="s">
        <v>7</v>
      </c>
      <c r="F9" s="33" t="s">
        <v>120</v>
      </c>
      <c r="G9" s="7" t="s">
        <v>1</v>
      </c>
      <c r="H9" s="7" t="s">
        <v>2</v>
      </c>
      <c r="I9" s="7" t="s">
        <v>2</v>
      </c>
      <c r="J9" s="7" t="s">
        <v>2</v>
      </c>
      <c r="K9" s="6">
        <f t="shared" si="1"/>
        <v>1</v>
      </c>
      <c r="L9" s="35" t="s">
        <v>61</v>
      </c>
      <c r="M9" s="35"/>
      <c r="N9" s="5" t="s">
        <v>60</v>
      </c>
      <c r="O9" s="4"/>
    </row>
    <row r="10" spans="2:15" ht="42" customHeight="1" x14ac:dyDescent="0.2">
      <c r="B10" s="10">
        <f t="shared" si="0"/>
        <v>6</v>
      </c>
      <c r="C10" s="9" t="s">
        <v>34</v>
      </c>
      <c r="D10" s="9" t="s">
        <v>58</v>
      </c>
      <c r="E10" s="9" t="s">
        <v>7</v>
      </c>
      <c r="F10" s="5" t="s">
        <v>121</v>
      </c>
      <c r="G10" s="7" t="s">
        <v>1</v>
      </c>
      <c r="H10" s="7" t="s">
        <v>2</v>
      </c>
      <c r="I10" s="7" t="s">
        <v>2</v>
      </c>
      <c r="J10" s="7" t="s">
        <v>2</v>
      </c>
      <c r="K10" s="6">
        <f>IFERROR((IF(G10="O",1,IF(G10="△",0.5,0))+IF(H11="O",1,IF(H11="△",0.5,0))+IF(I11="O",1,IF(I11="△",0.5,0))+IF(J11="O",1,IF(J11="△",0.5,0)))/(SUM(COUNTIF(G10:J10,"O"),COUNTIF(G10:J10,"△"),COUNTIF(G10:J10,"X"))),1)</f>
        <v>0.5</v>
      </c>
      <c r="L10" s="35"/>
      <c r="M10" s="35"/>
      <c r="N10" s="5" t="s">
        <v>59</v>
      </c>
      <c r="O10" s="4"/>
    </row>
    <row r="11" spans="2:15" ht="42" customHeight="1" x14ac:dyDescent="0.2">
      <c r="B11" s="10">
        <f t="shared" si="0"/>
        <v>7</v>
      </c>
      <c r="C11" s="9" t="s">
        <v>34</v>
      </c>
      <c r="D11" s="9" t="s">
        <v>58</v>
      </c>
      <c r="E11" s="8" t="s">
        <v>3</v>
      </c>
      <c r="F11" s="33" t="s">
        <v>122</v>
      </c>
      <c r="G11" s="7" t="s">
        <v>1</v>
      </c>
      <c r="H11" s="7" t="s">
        <v>12</v>
      </c>
      <c r="I11" s="7" t="s">
        <v>12</v>
      </c>
      <c r="J11" s="7" t="s">
        <v>12</v>
      </c>
      <c r="K11" s="6">
        <f>IFERROR((IF(G11="O",1,IF(G11="△",0.5,0))+IF(#REF!="O",1,IF(#REF!="△",0.5,0))+IF(#REF!="O",1,IF(#REF!="△",0.5,0))+IF(#REF!="O",1,IF(#REF!="△",0.5,0)))/(SUM(COUNTIF(G11:J11,"O"),COUNTIF(G11:J11,"△"),COUNTIF(G11:J11,"X"))),1)</f>
        <v>1</v>
      </c>
      <c r="L11" s="35" t="s">
        <v>57</v>
      </c>
      <c r="M11" s="35"/>
      <c r="N11" s="5" t="s">
        <v>56</v>
      </c>
      <c r="O11" s="4"/>
    </row>
    <row r="12" spans="2:15" ht="42" customHeight="1" x14ac:dyDescent="0.2">
      <c r="B12" s="10">
        <f t="shared" si="0"/>
        <v>8</v>
      </c>
      <c r="C12" s="9" t="s">
        <v>34</v>
      </c>
      <c r="D12" s="11" t="s">
        <v>54</v>
      </c>
      <c r="E12" s="9" t="s">
        <v>7</v>
      </c>
      <c r="F12" s="34" t="s">
        <v>123</v>
      </c>
      <c r="G12" s="7" t="s">
        <v>1</v>
      </c>
      <c r="H12" s="7" t="s">
        <v>11</v>
      </c>
      <c r="I12" s="7" t="s">
        <v>11</v>
      </c>
      <c r="J12" s="7" t="s">
        <v>1</v>
      </c>
      <c r="K12" s="6">
        <f t="shared" ref="K12:K24" si="2">IFERROR((IF(G12="O",1,IF(G12="△",0.5,0))+IF(H12="O",1,IF(H12="△",0.5,0))+IF(I12="O",1,IF(I12="△",0.5,0))+IF(J12="O",1,IF(J12="△",0.5,0)))/(SUM(COUNTIF(G12:J12,"O"),COUNTIF(G12:J12,"△"),COUNTIF(G12:J12,"X"))),1)</f>
        <v>0</v>
      </c>
      <c r="L12" s="35" t="s">
        <v>53</v>
      </c>
      <c r="M12" s="35"/>
      <c r="N12" s="5" t="s">
        <v>55</v>
      </c>
      <c r="O12" s="4"/>
    </row>
    <row r="13" spans="2:15" ht="42" customHeight="1" x14ac:dyDescent="0.2">
      <c r="B13" s="10">
        <f t="shared" si="0"/>
        <v>9</v>
      </c>
      <c r="C13" s="9" t="s">
        <v>34</v>
      </c>
      <c r="D13" s="11" t="s">
        <v>54</v>
      </c>
      <c r="E13" s="8" t="s">
        <v>3</v>
      </c>
      <c r="F13" s="33" t="s">
        <v>124</v>
      </c>
      <c r="G13" s="7" t="s">
        <v>1</v>
      </c>
      <c r="H13" s="7" t="s">
        <v>11</v>
      </c>
      <c r="I13" s="7" t="s">
        <v>11</v>
      </c>
      <c r="J13" s="7" t="s">
        <v>1</v>
      </c>
      <c r="K13" s="6">
        <f t="shared" si="2"/>
        <v>0</v>
      </c>
      <c r="L13" s="35" t="s">
        <v>53</v>
      </c>
      <c r="M13" s="35"/>
      <c r="N13" s="5" t="s">
        <v>42</v>
      </c>
      <c r="O13" s="4"/>
    </row>
    <row r="14" spans="2:15" ht="42" customHeight="1" x14ac:dyDescent="0.2">
      <c r="B14" s="10">
        <f t="shared" si="0"/>
        <v>10</v>
      </c>
      <c r="C14" s="9" t="s">
        <v>34</v>
      </c>
      <c r="D14" s="9" t="s">
        <v>51</v>
      </c>
      <c r="E14" s="9" t="s">
        <v>29</v>
      </c>
      <c r="F14" s="33" t="s">
        <v>125</v>
      </c>
      <c r="G14" s="7" t="s">
        <v>1</v>
      </c>
      <c r="H14" s="7" t="s">
        <v>11</v>
      </c>
      <c r="I14" s="7" t="s">
        <v>11</v>
      </c>
      <c r="J14" s="7" t="s">
        <v>1</v>
      </c>
      <c r="K14" s="6">
        <f t="shared" si="2"/>
        <v>0</v>
      </c>
      <c r="L14" s="35" t="s">
        <v>50</v>
      </c>
      <c r="M14" s="35"/>
      <c r="N14" s="5" t="s">
        <v>52</v>
      </c>
      <c r="O14" s="4"/>
    </row>
    <row r="15" spans="2:15" ht="42" customHeight="1" x14ac:dyDescent="0.2">
      <c r="B15" s="10">
        <f t="shared" si="0"/>
        <v>11</v>
      </c>
      <c r="C15" s="9" t="s">
        <v>34</v>
      </c>
      <c r="D15" s="9" t="s">
        <v>51</v>
      </c>
      <c r="E15" s="8" t="s">
        <v>3</v>
      </c>
      <c r="F15" s="33" t="s">
        <v>126</v>
      </c>
      <c r="G15" s="7" t="s">
        <v>1</v>
      </c>
      <c r="H15" s="7" t="s">
        <v>11</v>
      </c>
      <c r="I15" s="7" t="s">
        <v>11</v>
      </c>
      <c r="J15" s="7" t="s">
        <v>1</v>
      </c>
      <c r="K15" s="6">
        <f t="shared" si="2"/>
        <v>0</v>
      </c>
      <c r="L15" s="35" t="s">
        <v>50</v>
      </c>
      <c r="M15" s="35"/>
      <c r="N15" s="5" t="s">
        <v>42</v>
      </c>
      <c r="O15" s="4"/>
    </row>
    <row r="16" spans="2:15" ht="42" customHeight="1" x14ac:dyDescent="0.2">
      <c r="B16" s="10">
        <f t="shared" si="0"/>
        <v>12</v>
      </c>
      <c r="C16" s="9" t="s">
        <v>34</v>
      </c>
      <c r="D16" s="11" t="s">
        <v>48</v>
      </c>
      <c r="E16" s="9" t="s">
        <v>29</v>
      </c>
      <c r="F16" s="33" t="s">
        <v>127</v>
      </c>
      <c r="G16" s="7" t="s">
        <v>1</v>
      </c>
      <c r="H16" s="7" t="s">
        <v>11</v>
      </c>
      <c r="I16" s="7" t="s">
        <v>11</v>
      </c>
      <c r="J16" s="7" t="s">
        <v>1</v>
      </c>
      <c r="K16" s="6">
        <f t="shared" si="2"/>
        <v>0</v>
      </c>
      <c r="L16" s="35" t="s">
        <v>47</v>
      </c>
      <c r="M16" s="35"/>
      <c r="N16" s="5" t="s">
        <v>49</v>
      </c>
      <c r="O16" s="4"/>
    </row>
    <row r="17" spans="2:15" ht="42" customHeight="1" x14ac:dyDescent="0.2">
      <c r="B17" s="10">
        <f t="shared" si="0"/>
        <v>13</v>
      </c>
      <c r="C17" s="9" t="s">
        <v>34</v>
      </c>
      <c r="D17" s="11" t="s">
        <v>48</v>
      </c>
      <c r="E17" s="8" t="s">
        <v>3</v>
      </c>
      <c r="F17" s="33" t="s">
        <v>128</v>
      </c>
      <c r="G17" s="7" t="s">
        <v>1</v>
      </c>
      <c r="H17" s="7" t="s">
        <v>11</v>
      </c>
      <c r="I17" s="7" t="s">
        <v>11</v>
      </c>
      <c r="J17" s="7" t="s">
        <v>1</v>
      </c>
      <c r="K17" s="6">
        <f t="shared" si="2"/>
        <v>0</v>
      </c>
      <c r="L17" s="35" t="s">
        <v>47</v>
      </c>
      <c r="M17" s="35"/>
      <c r="N17" s="5" t="s">
        <v>42</v>
      </c>
      <c r="O17" s="4"/>
    </row>
    <row r="18" spans="2:15" ht="42" customHeight="1" x14ac:dyDescent="0.2">
      <c r="B18" s="10">
        <f t="shared" ref="B18:B24" si="3">ROW()-4</f>
        <v>14</v>
      </c>
      <c r="C18" s="9" t="s">
        <v>34</v>
      </c>
      <c r="D18" s="9" t="s">
        <v>44</v>
      </c>
      <c r="E18" s="9" t="s">
        <v>28</v>
      </c>
      <c r="F18" s="33" t="s">
        <v>129</v>
      </c>
      <c r="G18" s="7" t="s">
        <v>1</v>
      </c>
      <c r="H18" s="7" t="s">
        <v>11</v>
      </c>
      <c r="I18" s="7" t="s">
        <v>11</v>
      </c>
      <c r="J18" s="7" t="s">
        <v>1</v>
      </c>
      <c r="K18" s="6">
        <f t="shared" si="2"/>
        <v>0</v>
      </c>
      <c r="L18" s="36" t="s">
        <v>43</v>
      </c>
      <c r="M18" s="36"/>
      <c r="N18" s="5" t="s">
        <v>46</v>
      </c>
      <c r="O18" s="4"/>
    </row>
    <row r="19" spans="2:15" ht="42" customHeight="1" x14ac:dyDescent="0.2">
      <c r="B19" s="10">
        <f t="shared" si="3"/>
        <v>15</v>
      </c>
      <c r="C19" s="9" t="s">
        <v>34</v>
      </c>
      <c r="D19" s="9" t="s">
        <v>44</v>
      </c>
      <c r="E19" s="9" t="s">
        <v>28</v>
      </c>
      <c r="F19" s="33" t="s">
        <v>130</v>
      </c>
      <c r="G19" s="7" t="s">
        <v>1</v>
      </c>
      <c r="H19" s="7" t="s">
        <v>11</v>
      </c>
      <c r="I19" s="7" t="s">
        <v>11</v>
      </c>
      <c r="J19" s="7" t="s">
        <v>1</v>
      </c>
      <c r="K19" s="6">
        <f t="shared" si="2"/>
        <v>0</v>
      </c>
      <c r="L19" s="36" t="s">
        <v>43</v>
      </c>
      <c r="M19" s="36"/>
      <c r="N19" s="5" t="s">
        <v>45</v>
      </c>
      <c r="O19" s="4"/>
    </row>
    <row r="20" spans="2:15" ht="42" customHeight="1" x14ac:dyDescent="0.2">
      <c r="B20" s="10">
        <f t="shared" si="3"/>
        <v>16</v>
      </c>
      <c r="C20" s="9" t="s">
        <v>34</v>
      </c>
      <c r="D20" s="9" t="s">
        <v>44</v>
      </c>
      <c r="E20" s="8" t="s">
        <v>3</v>
      </c>
      <c r="F20" s="33" t="s">
        <v>116</v>
      </c>
      <c r="G20" s="7" t="s">
        <v>1</v>
      </c>
      <c r="H20" s="7" t="s">
        <v>11</v>
      </c>
      <c r="I20" s="7" t="s">
        <v>11</v>
      </c>
      <c r="J20" s="7" t="s">
        <v>1</v>
      </c>
      <c r="K20" s="6">
        <f t="shared" si="2"/>
        <v>0</v>
      </c>
      <c r="L20" s="36" t="s">
        <v>43</v>
      </c>
      <c r="M20" s="36"/>
      <c r="N20" s="5" t="s">
        <v>42</v>
      </c>
      <c r="O20" s="4"/>
    </row>
    <row r="21" spans="2:15" ht="42" customHeight="1" x14ac:dyDescent="0.2">
      <c r="B21" s="10">
        <f t="shared" si="3"/>
        <v>17</v>
      </c>
      <c r="C21" s="9" t="s">
        <v>34</v>
      </c>
      <c r="D21" s="9" t="s">
        <v>39</v>
      </c>
      <c r="E21" s="8" t="s">
        <v>32</v>
      </c>
      <c r="F21" s="33" t="s">
        <v>131</v>
      </c>
      <c r="G21" s="7" t="s">
        <v>12</v>
      </c>
      <c r="H21" s="7" t="s">
        <v>11</v>
      </c>
      <c r="I21" s="7" t="s">
        <v>11</v>
      </c>
      <c r="J21" s="7" t="s">
        <v>11</v>
      </c>
      <c r="K21" s="6">
        <f t="shared" si="2"/>
        <v>0.125</v>
      </c>
      <c r="L21" s="35" t="s">
        <v>41</v>
      </c>
      <c r="M21" s="35"/>
      <c r="N21" s="5" t="s">
        <v>40</v>
      </c>
      <c r="O21" s="4"/>
    </row>
    <row r="22" spans="2:15" ht="42" customHeight="1" x14ac:dyDescent="0.2">
      <c r="B22" s="10">
        <f t="shared" si="3"/>
        <v>18</v>
      </c>
      <c r="C22" s="9" t="s">
        <v>34</v>
      </c>
      <c r="D22" s="9" t="s">
        <v>39</v>
      </c>
      <c r="E22" s="8" t="s">
        <v>32</v>
      </c>
      <c r="F22" s="33" t="s">
        <v>132</v>
      </c>
      <c r="G22" s="7" t="s">
        <v>11</v>
      </c>
      <c r="H22" s="7" t="s">
        <v>11</v>
      </c>
      <c r="I22" s="7" t="s">
        <v>11</v>
      </c>
      <c r="J22" s="7" t="s">
        <v>11</v>
      </c>
      <c r="K22" s="6">
        <f t="shared" si="2"/>
        <v>0</v>
      </c>
      <c r="L22" s="35" t="s">
        <v>38</v>
      </c>
      <c r="M22" s="35"/>
      <c r="N22" s="5" t="s">
        <v>37</v>
      </c>
      <c r="O22" s="4"/>
    </row>
    <row r="23" spans="2:15" ht="42" customHeight="1" x14ac:dyDescent="0.2">
      <c r="B23" s="10">
        <f t="shared" si="3"/>
        <v>19</v>
      </c>
      <c r="C23" s="9" t="s">
        <v>34</v>
      </c>
      <c r="D23" s="9" t="s">
        <v>33</v>
      </c>
      <c r="E23" s="8" t="s">
        <v>32</v>
      </c>
      <c r="F23" s="33" t="s">
        <v>133</v>
      </c>
      <c r="G23" s="7" t="s">
        <v>11</v>
      </c>
      <c r="H23" s="7" t="s">
        <v>12</v>
      </c>
      <c r="I23" s="7" t="s">
        <v>12</v>
      </c>
      <c r="J23" s="7" t="s">
        <v>12</v>
      </c>
      <c r="K23" s="6">
        <f t="shared" si="2"/>
        <v>0.375</v>
      </c>
      <c r="L23" s="35" t="s">
        <v>36</v>
      </c>
      <c r="M23" s="35"/>
      <c r="N23" s="5" t="s">
        <v>35</v>
      </c>
      <c r="O23" s="4"/>
    </row>
    <row r="24" spans="2:15" ht="42" customHeight="1" x14ac:dyDescent="0.2">
      <c r="B24" s="10">
        <f t="shared" si="3"/>
        <v>20</v>
      </c>
      <c r="C24" s="9" t="s">
        <v>34</v>
      </c>
      <c r="D24" s="9" t="s">
        <v>33</v>
      </c>
      <c r="E24" s="8" t="s">
        <v>32</v>
      </c>
      <c r="F24" s="33" t="s">
        <v>134</v>
      </c>
      <c r="G24" s="7" t="s">
        <v>11</v>
      </c>
      <c r="H24" s="7" t="s">
        <v>12</v>
      </c>
      <c r="I24" s="7" t="s">
        <v>12</v>
      </c>
      <c r="J24" s="7" t="s">
        <v>12</v>
      </c>
      <c r="K24" s="6">
        <f t="shared" si="2"/>
        <v>0.375</v>
      </c>
      <c r="L24" s="35" t="s">
        <v>31</v>
      </c>
      <c r="M24" s="35"/>
      <c r="N24" s="5" t="s">
        <v>30</v>
      </c>
      <c r="O24" s="4"/>
    </row>
    <row r="25" spans="2:15" ht="42" customHeight="1" x14ac:dyDescent="0.2">
      <c r="B25" s="10">
        <f t="shared" ref="B25:B32" si="4">ROW()-4</f>
        <v>21</v>
      </c>
      <c r="C25" s="9" t="s">
        <v>15</v>
      </c>
      <c r="D25" s="9" t="s">
        <v>14</v>
      </c>
      <c r="E25" s="9" t="s">
        <v>13</v>
      </c>
      <c r="F25" s="33" t="s">
        <v>135</v>
      </c>
      <c r="G25" s="7" t="s">
        <v>1</v>
      </c>
      <c r="H25" s="7" t="s">
        <v>1</v>
      </c>
      <c r="I25" s="7" t="s">
        <v>1</v>
      </c>
      <c r="J25" s="7" t="s">
        <v>12</v>
      </c>
      <c r="K25" s="6">
        <f t="shared" ref="K25:K34" si="5">IFERROR((IF(G25="O",1,IF(G25="△",0.5,0))+IF(H25="O",1,IF(H25="△",0.5,0))+IF(I25="O",1,IF(I25="△",0.5,0))+IF(J25="O",1,IF(J25="△",0.5,0)))/(SUM(COUNTIF(G25:J25,"O"),COUNTIF(G25:J25,"△"),COUNTIF(G25:J25,"X"))),1)</f>
        <v>0.5</v>
      </c>
      <c r="L25" s="35" t="s">
        <v>27</v>
      </c>
      <c r="M25" s="35"/>
      <c r="N25" s="5" t="s">
        <v>26</v>
      </c>
      <c r="O25" s="4"/>
    </row>
    <row r="26" spans="2:15" ht="42" customHeight="1" x14ac:dyDescent="0.2">
      <c r="B26" s="10">
        <f t="shared" si="4"/>
        <v>22</v>
      </c>
      <c r="C26" s="9" t="s">
        <v>15</v>
      </c>
      <c r="D26" s="9" t="s">
        <v>14</v>
      </c>
      <c r="E26" s="9" t="s">
        <v>13</v>
      </c>
      <c r="F26" s="33" t="s">
        <v>136</v>
      </c>
      <c r="G26" s="7" t="s">
        <v>1</v>
      </c>
      <c r="H26" s="7" t="s">
        <v>1</v>
      </c>
      <c r="I26" s="7" t="s">
        <v>1</v>
      </c>
      <c r="J26" s="7" t="s">
        <v>2</v>
      </c>
      <c r="K26" s="6">
        <f t="shared" si="5"/>
        <v>1</v>
      </c>
      <c r="L26" s="35" t="s">
        <v>25</v>
      </c>
      <c r="M26" s="35"/>
      <c r="N26" s="5" t="s">
        <v>24</v>
      </c>
      <c r="O26" s="4"/>
    </row>
    <row r="27" spans="2:15" ht="42" customHeight="1" x14ac:dyDescent="0.2">
      <c r="B27" s="10">
        <f t="shared" si="4"/>
        <v>23</v>
      </c>
      <c r="C27" s="9" t="s">
        <v>15</v>
      </c>
      <c r="D27" s="9" t="s">
        <v>14</v>
      </c>
      <c r="E27" s="8" t="s">
        <v>13</v>
      </c>
      <c r="F27" s="33" t="s">
        <v>137</v>
      </c>
      <c r="G27" s="7" t="s">
        <v>1</v>
      </c>
      <c r="H27" s="7" t="s">
        <v>1</v>
      </c>
      <c r="I27" s="7" t="s">
        <v>1</v>
      </c>
      <c r="J27" s="7" t="s">
        <v>11</v>
      </c>
      <c r="K27" s="6">
        <f t="shared" si="5"/>
        <v>0</v>
      </c>
      <c r="L27" s="35" t="s">
        <v>23</v>
      </c>
      <c r="M27" s="35"/>
      <c r="N27" s="5" t="s">
        <v>22</v>
      </c>
      <c r="O27" s="4"/>
    </row>
    <row r="28" spans="2:15" ht="42" customHeight="1" x14ac:dyDescent="0.2">
      <c r="B28" s="10">
        <f t="shared" si="4"/>
        <v>24</v>
      </c>
      <c r="C28" s="9" t="s">
        <v>15</v>
      </c>
      <c r="D28" s="9" t="s">
        <v>14</v>
      </c>
      <c r="E28" s="8" t="s">
        <v>13</v>
      </c>
      <c r="F28" s="33" t="s">
        <v>138</v>
      </c>
      <c r="G28" s="7" t="s">
        <v>1</v>
      </c>
      <c r="H28" s="7" t="s">
        <v>1</v>
      </c>
      <c r="I28" s="7" t="s">
        <v>1</v>
      </c>
      <c r="J28" s="7" t="s">
        <v>2</v>
      </c>
      <c r="K28" s="6">
        <f t="shared" si="5"/>
        <v>1</v>
      </c>
      <c r="L28" s="35" t="s">
        <v>21</v>
      </c>
      <c r="M28" s="35"/>
      <c r="N28" s="5" t="s">
        <v>20</v>
      </c>
      <c r="O28" s="4"/>
    </row>
    <row r="29" spans="2:15" ht="42" customHeight="1" x14ac:dyDescent="0.2">
      <c r="B29" s="10">
        <f t="shared" si="4"/>
        <v>25</v>
      </c>
      <c r="C29" s="9" t="s">
        <v>15</v>
      </c>
      <c r="D29" s="9" t="s">
        <v>14</v>
      </c>
      <c r="E29" s="8" t="s">
        <v>13</v>
      </c>
      <c r="F29" s="33" t="s">
        <v>139</v>
      </c>
      <c r="G29" s="7" t="s">
        <v>1</v>
      </c>
      <c r="H29" s="7" t="s">
        <v>1</v>
      </c>
      <c r="I29" s="7" t="s">
        <v>1</v>
      </c>
      <c r="J29" s="7" t="s">
        <v>2</v>
      </c>
      <c r="K29" s="6">
        <f t="shared" si="5"/>
        <v>1</v>
      </c>
      <c r="L29" s="35"/>
      <c r="M29" s="35"/>
      <c r="N29" s="5" t="s">
        <v>19</v>
      </c>
      <c r="O29" s="4"/>
    </row>
    <row r="30" spans="2:15" ht="42" customHeight="1" x14ac:dyDescent="0.2">
      <c r="B30" s="10">
        <f t="shared" si="4"/>
        <v>26</v>
      </c>
      <c r="C30" s="9" t="s">
        <v>15</v>
      </c>
      <c r="D30" s="9" t="s">
        <v>14</v>
      </c>
      <c r="E30" s="8" t="s">
        <v>13</v>
      </c>
      <c r="F30" s="33" t="s">
        <v>140</v>
      </c>
      <c r="G30" s="7" t="s">
        <v>1</v>
      </c>
      <c r="H30" s="7" t="s">
        <v>1</v>
      </c>
      <c r="I30" s="7" t="s">
        <v>1</v>
      </c>
      <c r="J30" s="7" t="s">
        <v>2</v>
      </c>
      <c r="K30" s="6">
        <f t="shared" si="5"/>
        <v>1</v>
      </c>
      <c r="L30" s="35"/>
      <c r="M30" s="35"/>
      <c r="N30" s="5" t="s">
        <v>18</v>
      </c>
      <c r="O30" s="4"/>
    </row>
    <row r="31" spans="2:15" ht="42" customHeight="1" x14ac:dyDescent="0.2">
      <c r="B31" s="10">
        <f t="shared" si="4"/>
        <v>27</v>
      </c>
      <c r="C31" s="9" t="s">
        <v>15</v>
      </c>
      <c r="D31" s="9" t="s">
        <v>14</v>
      </c>
      <c r="E31" s="8" t="s">
        <v>13</v>
      </c>
      <c r="F31" s="33" t="s">
        <v>141</v>
      </c>
      <c r="G31" s="7" t="s">
        <v>1</v>
      </c>
      <c r="H31" s="7" t="s">
        <v>1</v>
      </c>
      <c r="I31" s="7" t="s">
        <v>1</v>
      </c>
      <c r="J31" s="7" t="s">
        <v>11</v>
      </c>
      <c r="K31" s="6">
        <f t="shared" si="5"/>
        <v>0</v>
      </c>
      <c r="L31" s="35" t="s">
        <v>17</v>
      </c>
      <c r="M31" s="35"/>
      <c r="N31" s="5" t="s">
        <v>16</v>
      </c>
      <c r="O31" s="4"/>
    </row>
    <row r="32" spans="2:15" ht="42" customHeight="1" x14ac:dyDescent="0.2">
      <c r="B32" s="10">
        <f t="shared" si="4"/>
        <v>28</v>
      </c>
      <c r="C32" s="9" t="s">
        <v>15</v>
      </c>
      <c r="D32" s="9" t="s">
        <v>14</v>
      </c>
      <c r="E32" s="8" t="s">
        <v>13</v>
      </c>
      <c r="F32" s="33" t="s">
        <v>142</v>
      </c>
      <c r="G32" s="7" t="s">
        <v>12</v>
      </c>
      <c r="H32" s="7" t="s">
        <v>1</v>
      </c>
      <c r="I32" s="7" t="s">
        <v>1</v>
      </c>
      <c r="J32" s="7" t="s">
        <v>11</v>
      </c>
      <c r="K32" s="6">
        <f t="shared" si="5"/>
        <v>0.25</v>
      </c>
      <c r="L32" s="35" t="s">
        <v>10</v>
      </c>
      <c r="M32" s="35"/>
      <c r="N32" s="5" t="s">
        <v>9</v>
      </c>
      <c r="O32" s="4"/>
    </row>
    <row r="33" spans="2:15" ht="42" customHeight="1" x14ac:dyDescent="0.2">
      <c r="B33" s="10">
        <v>99</v>
      </c>
      <c r="C33" s="9" t="s">
        <v>5</v>
      </c>
      <c r="D33" s="9" t="s">
        <v>8</v>
      </c>
      <c r="E33" s="8" t="s">
        <v>7</v>
      </c>
      <c r="F33" s="33" t="s">
        <v>143</v>
      </c>
      <c r="G33" s="7" t="s">
        <v>1</v>
      </c>
      <c r="H33" s="7" t="s">
        <v>2</v>
      </c>
      <c r="I33" s="7" t="s">
        <v>2</v>
      </c>
      <c r="J33" s="7" t="s">
        <v>2</v>
      </c>
      <c r="K33" s="6">
        <f t="shared" si="5"/>
        <v>1</v>
      </c>
      <c r="L33" s="35"/>
      <c r="M33" s="35"/>
      <c r="N33" s="5" t="s">
        <v>6</v>
      </c>
      <c r="O33" s="4"/>
    </row>
    <row r="34" spans="2:15" ht="42" customHeight="1" x14ac:dyDescent="0.2">
      <c r="B34" s="10">
        <v>100</v>
      </c>
      <c r="C34" s="9" t="s">
        <v>5</v>
      </c>
      <c r="D34" s="9" t="s">
        <v>4</v>
      </c>
      <c r="E34" s="8" t="s">
        <v>3</v>
      </c>
      <c r="F34" s="33" t="s">
        <v>144</v>
      </c>
      <c r="G34" s="7" t="s">
        <v>2</v>
      </c>
      <c r="H34" s="7" t="s">
        <v>1</v>
      </c>
      <c r="I34" s="7" t="s">
        <v>1</v>
      </c>
      <c r="J34" s="7" t="s">
        <v>1</v>
      </c>
      <c r="K34" s="6">
        <f t="shared" si="5"/>
        <v>1</v>
      </c>
      <c r="L34" s="35"/>
      <c r="M34" s="35"/>
      <c r="N34" s="5" t="s">
        <v>0</v>
      </c>
      <c r="O34" s="4"/>
    </row>
    <row r="35" spans="2:15" x14ac:dyDescent="0.2">
      <c r="K35" s="32">
        <f>AVERAGE(K5:K34)</f>
        <v>0.40416666666666667</v>
      </c>
    </row>
    <row r="36" spans="2:15" ht="18.5" customHeight="1" x14ac:dyDescent="0.2">
      <c r="C36" s="3"/>
      <c r="D36" s="22"/>
      <c r="F36" s="28"/>
      <c r="G36" s="3" t="s">
        <v>92</v>
      </c>
      <c r="H36" s="22">
        <f>SUMIF($D$5:$D$34,G36,$K$5:$K$34)</f>
        <v>0</v>
      </c>
      <c r="I36" s="2">
        <f>COUNTIF($D$5:$D$34,G36)</f>
        <v>0</v>
      </c>
      <c r="J36" s="28" t="e">
        <f>H36/I36</f>
        <v>#DIV/0!</v>
      </c>
    </row>
    <row r="37" spans="2:15" ht="18.5" customHeight="1" x14ac:dyDescent="0.2">
      <c r="C37" s="3"/>
      <c r="D37" s="22"/>
      <c r="F37" s="28"/>
      <c r="G37" s="3" t="s">
        <v>93</v>
      </c>
      <c r="H37" s="22">
        <f>SUMIF($D$5:$D$34,G37,$K$5:$K$34)</f>
        <v>1</v>
      </c>
      <c r="I37" s="2">
        <f>COUNTIF($D$5:$D$34,G37)</f>
        <v>2</v>
      </c>
      <c r="J37" s="28">
        <f t="shared" ref="J37:J59" si="6">H37/I37</f>
        <v>0.5</v>
      </c>
    </row>
    <row r="38" spans="2:15" ht="18.5" customHeight="1" x14ac:dyDescent="0.2">
      <c r="C38" s="3"/>
      <c r="D38" s="22"/>
      <c r="F38" s="28"/>
      <c r="G38" s="3" t="s">
        <v>94</v>
      </c>
      <c r="H38" s="22">
        <f>SUMIF($D$5:$D$34,G38,$K$5:$K$34)</f>
        <v>3.5</v>
      </c>
      <c r="I38" s="2">
        <f>COUNTIF($D$5:$D$34,G38)</f>
        <v>5</v>
      </c>
      <c r="J38" s="28">
        <f t="shared" si="6"/>
        <v>0.7</v>
      </c>
    </row>
    <row r="39" spans="2:15" ht="18.5" customHeight="1" x14ac:dyDescent="0.2">
      <c r="C39" s="3"/>
      <c r="D39" s="22"/>
      <c r="F39" s="28"/>
      <c r="G39" s="3" t="s">
        <v>95</v>
      </c>
      <c r="H39" s="22">
        <f>SUMIF($D$5:$D$34,G39,$K$5:$K$34)</f>
        <v>0</v>
      </c>
      <c r="I39" s="2">
        <f>COUNTIF($D$5:$D$34,G39)</f>
        <v>0</v>
      </c>
      <c r="J39" s="28" t="e">
        <f t="shared" si="6"/>
        <v>#DIV/0!</v>
      </c>
    </row>
    <row r="40" spans="2:15" ht="18.5" customHeight="1" x14ac:dyDescent="0.2">
      <c r="C40" s="3"/>
      <c r="D40" s="22"/>
      <c r="F40" s="28"/>
      <c r="G40" s="3" t="s">
        <v>96</v>
      </c>
      <c r="H40" s="22">
        <f>SUMIF($D$5:$D$34,G40,$K$5:$K$34)</f>
        <v>4.75</v>
      </c>
      <c r="I40" s="2">
        <f>COUNTIF($D$5:$D$34,G40)</f>
        <v>8</v>
      </c>
      <c r="J40" s="28">
        <f t="shared" si="6"/>
        <v>0.59375</v>
      </c>
    </row>
    <row r="41" spans="2:15" ht="18.5" customHeight="1" x14ac:dyDescent="0.2">
      <c r="C41" s="3"/>
      <c r="D41" s="22"/>
      <c r="F41" s="28"/>
      <c r="G41" s="3" t="s">
        <v>97</v>
      </c>
      <c r="H41" s="22">
        <f>SUMIF($D$5:$D$34,G41,$K$5:$K$34)</f>
        <v>0</v>
      </c>
      <c r="I41" s="2">
        <f>COUNTIF($D$5:$D$34,G41)</f>
        <v>0</v>
      </c>
      <c r="J41" s="28" t="e">
        <f t="shared" si="6"/>
        <v>#DIV/0!</v>
      </c>
    </row>
    <row r="42" spans="2:15" ht="18.5" customHeight="1" x14ac:dyDescent="0.2">
      <c r="C42" s="24"/>
      <c r="D42" s="25"/>
      <c r="E42" s="23"/>
      <c r="F42" s="29"/>
      <c r="G42" s="24" t="s">
        <v>98</v>
      </c>
      <c r="H42" s="25">
        <f>SUMIF($D$5:$D$34,G42,$K$5:$K$34)</f>
        <v>0</v>
      </c>
      <c r="I42" s="23">
        <f>COUNTIF($D$5:$D$34,G42)</f>
        <v>2</v>
      </c>
      <c r="J42" s="29">
        <f t="shared" si="6"/>
        <v>0</v>
      </c>
    </row>
    <row r="43" spans="2:15" ht="18.5" customHeight="1" x14ac:dyDescent="0.2">
      <c r="C43" s="27"/>
      <c r="D43" s="25"/>
      <c r="E43" s="23"/>
      <c r="F43" s="29"/>
      <c r="G43" s="27" t="s">
        <v>99</v>
      </c>
      <c r="H43" s="25">
        <f>SUMIF($D$5:$D$34,G43,$K$5:$K$34)</f>
        <v>0</v>
      </c>
      <c r="I43" s="23">
        <f>COUNTIF($D$5:$D$34,G43)</f>
        <v>0</v>
      </c>
      <c r="J43" s="29" t="e">
        <f t="shared" si="6"/>
        <v>#DIV/0!</v>
      </c>
    </row>
    <row r="44" spans="2:15" ht="18.5" customHeight="1" x14ac:dyDescent="0.2">
      <c r="C44" s="27"/>
      <c r="D44" s="25"/>
      <c r="E44" s="23"/>
      <c r="F44" s="29"/>
      <c r="G44" s="27" t="s">
        <v>100</v>
      </c>
      <c r="H44" s="25">
        <f>SUMIF($D$5:$D$34,G44,$K$5:$K$34)</f>
        <v>0</v>
      </c>
      <c r="I44" s="23">
        <f>COUNTIF($D$5:$D$34,G44)</f>
        <v>2</v>
      </c>
      <c r="J44" s="29">
        <f t="shared" si="6"/>
        <v>0</v>
      </c>
    </row>
    <row r="45" spans="2:15" ht="18.5" customHeight="1" x14ac:dyDescent="0.2">
      <c r="C45" s="27"/>
      <c r="D45" s="25"/>
      <c r="E45" s="23"/>
      <c r="F45" s="29"/>
      <c r="G45" s="27" t="s">
        <v>101</v>
      </c>
      <c r="H45" s="25">
        <f>SUMIF($D$5:$D$34,G45,$K$5:$K$34)</f>
        <v>0</v>
      </c>
      <c r="I45" s="23">
        <f>COUNTIF($D$5:$D$34,G45)</f>
        <v>0</v>
      </c>
      <c r="J45" s="29" t="e">
        <f t="shared" si="6"/>
        <v>#DIV/0!</v>
      </c>
    </row>
    <row r="46" spans="2:15" ht="18.5" customHeight="1" x14ac:dyDescent="0.2">
      <c r="C46" s="3"/>
      <c r="D46" s="22"/>
      <c r="F46" s="28"/>
      <c r="G46" s="24" t="s">
        <v>102</v>
      </c>
      <c r="H46" s="25">
        <f>SUMIF($D$5:$D$34,G46,$K$5:$K$34)</f>
        <v>0</v>
      </c>
      <c r="I46" s="30">
        <f>COUNTIF($D$5:$D$34,G46)</f>
        <v>0</v>
      </c>
      <c r="J46" s="31" t="e">
        <f t="shared" si="6"/>
        <v>#DIV/0!</v>
      </c>
    </row>
    <row r="47" spans="2:15" ht="18.5" customHeight="1" x14ac:dyDescent="0.2">
      <c r="C47" s="24"/>
      <c r="D47" s="25"/>
      <c r="E47" s="23"/>
      <c r="F47" s="29"/>
      <c r="G47" s="24" t="s">
        <v>103</v>
      </c>
      <c r="H47" s="25">
        <f>SUMIF($D$5:$D$34,G47,$K$5:$K$34)</f>
        <v>0.125</v>
      </c>
      <c r="I47" s="23">
        <f>COUNTIF($D$5:$D$34,G47)</f>
        <v>2</v>
      </c>
      <c r="J47" s="29">
        <f t="shared" si="6"/>
        <v>6.25E-2</v>
      </c>
    </row>
    <row r="48" spans="2:15" ht="18.5" customHeight="1" x14ac:dyDescent="0.2">
      <c r="C48" s="27"/>
      <c r="D48" s="25"/>
      <c r="E48" s="23"/>
      <c r="F48" s="29"/>
      <c r="G48" s="27" t="s">
        <v>104</v>
      </c>
      <c r="H48" s="25">
        <f>SUMIF($D$5:$D$34,G48,$K$5:$K$34)</f>
        <v>0</v>
      </c>
      <c r="I48" s="23">
        <f>COUNTIF($D$5:$D$34,G48)</f>
        <v>3</v>
      </c>
      <c r="J48" s="29">
        <f t="shared" si="6"/>
        <v>0</v>
      </c>
    </row>
    <row r="49" spans="3:10" ht="34" x14ac:dyDescent="0.2">
      <c r="C49" s="3"/>
      <c r="D49" s="22"/>
      <c r="F49" s="28"/>
      <c r="G49" s="24" t="s">
        <v>105</v>
      </c>
      <c r="H49" s="25">
        <f>SUMIF($D$5:$D$34,G49,$K$5:$K$34)</f>
        <v>0</v>
      </c>
      <c r="I49" s="30">
        <f>COUNTIF($D$5:$D$34,G49)</f>
        <v>0</v>
      </c>
      <c r="J49" s="31" t="e">
        <f t="shared" si="6"/>
        <v>#DIV/0!</v>
      </c>
    </row>
    <row r="50" spans="3:10" ht="34" x14ac:dyDescent="0.2">
      <c r="C50" s="3"/>
      <c r="D50" s="22"/>
      <c r="F50" s="28"/>
      <c r="G50" s="3" t="s">
        <v>106</v>
      </c>
      <c r="H50" s="22">
        <f>SUMIF($D$5:$D$34,G50,$K$5:$K$34)</f>
        <v>0</v>
      </c>
      <c r="I50" s="2">
        <f>COUNTIF($D$5:$D$34,G50)</f>
        <v>0</v>
      </c>
      <c r="J50" s="28" t="e">
        <f t="shared" si="6"/>
        <v>#DIV/0!</v>
      </c>
    </row>
    <row r="51" spans="3:10" ht="34" x14ac:dyDescent="0.2">
      <c r="C51" s="3"/>
      <c r="D51" s="22"/>
      <c r="F51" s="28"/>
      <c r="G51" s="24" t="s">
        <v>115</v>
      </c>
      <c r="H51" s="25">
        <f>SUMIF($D$5:$D$34,G51,$K$5:$K$34)</f>
        <v>0</v>
      </c>
      <c r="I51" s="30">
        <f>COUNTIF($D$5:$D$34,G51)</f>
        <v>0</v>
      </c>
      <c r="J51" s="31" t="e">
        <f t="shared" si="6"/>
        <v>#DIV/0!</v>
      </c>
    </row>
    <row r="52" spans="3:10" ht="34" x14ac:dyDescent="0.2">
      <c r="C52" s="3"/>
      <c r="D52" s="22"/>
      <c r="F52" s="28"/>
      <c r="G52" s="3" t="s">
        <v>107</v>
      </c>
      <c r="H52" s="22">
        <f>SUMIF($D$5:$D$34,G52,$K$5:$K$34)</f>
        <v>1</v>
      </c>
      <c r="I52" s="2">
        <f>COUNTIF($D$5:$D$34,G52)</f>
        <v>1</v>
      </c>
      <c r="J52" s="28">
        <f t="shared" si="6"/>
        <v>1</v>
      </c>
    </row>
    <row r="53" spans="3:10" ht="17" x14ac:dyDescent="0.2">
      <c r="C53" s="3"/>
      <c r="D53" s="22"/>
      <c r="F53" s="28"/>
      <c r="G53" s="3" t="s">
        <v>108</v>
      </c>
      <c r="H53" s="22">
        <f>SUMIF($D$5:$D$34,G53,$K$5:$K$34)</f>
        <v>0</v>
      </c>
      <c r="I53" s="2">
        <f>COUNTIF($D$5:$D$34,G53)</f>
        <v>0</v>
      </c>
      <c r="J53" s="28" t="e">
        <f t="shared" si="6"/>
        <v>#DIV/0!</v>
      </c>
    </row>
    <row r="54" spans="3:10" ht="17" x14ac:dyDescent="0.2">
      <c r="C54" s="3"/>
      <c r="D54" s="22"/>
      <c r="F54" s="28"/>
      <c r="G54" s="3" t="s">
        <v>109</v>
      </c>
      <c r="H54" s="22">
        <f>SUMIF($D$5:$D$34,G54,$K$5:$K$34)</f>
        <v>0</v>
      </c>
      <c r="I54" s="2">
        <f>COUNTIF($D$5:$D$34,G54)</f>
        <v>0</v>
      </c>
      <c r="J54" s="28" t="e">
        <f t="shared" si="6"/>
        <v>#DIV/0!</v>
      </c>
    </row>
    <row r="55" spans="3:10" ht="34" x14ac:dyDescent="0.2">
      <c r="C55" s="3"/>
      <c r="D55" s="22"/>
      <c r="F55" s="28"/>
      <c r="G55" s="24" t="s">
        <v>110</v>
      </c>
      <c r="H55" s="25">
        <f>SUMIF($D$5:$D$34,G55,$K$5:$K$34)</f>
        <v>0.75</v>
      </c>
      <c r="I55" s="30">
        <f>COUNTIF($D$5:$D$34,G55)</f>
        <v>2</v>
      </c>
      <c r="J55" s="31">
        <f t="shared" si="6"/>
        <v>0.375</v>
      </c>
    </row>
    <row r="56" spans="3:10" s="26" customFormat="1" ht="34" x14ac:dyDescent="0.2">
      <c r="C56" s="24"/>
      <c r="D56" s="25"/>
      <c r="E56" s="23"/>
      <c r="F56" s="29"/>
      <c r="G56" s="24" t="s">
        <v>111</v>
      </c>
      <c r="H56" s="25">
        <f>SUMIF($D$5:$D$34,G56,$K$5:$K$34)</f>
        <v>0</v>
      </c>
      <c r="I56" s="23">
        <f>COUNTIF($D$5:$D$34,G56)</f>
        <v>2</v>
      </c>
      <c r="J56" s="29">
        <f t="shared" si="6"/>
        <v>0</v>
      </c>
    </row>
    <row r="57" spans="3:10" ht="34" x14ac:dyDescent="0.2">
      <c r="C57" s="3"/>
      <c r="D57" s="22"/>
      <c r="F57" s="28"/>
      <c r="G57" s="3" t="s">
        <v>112</v>
      </c>
      <c r="H57" s="22">
        <f>SUMIF($D$5:$D$34,G57,$K$5:$K$34)</f>
        <v>0</v>
      </c>
      <c r="I57" s="2">
        <f>COUNTIF($D$5:$D$34,G57)</f>
        <v>0</v>
      </c>
      <c r="J57" s="28" t="e">
        <f t="shared" si="6"/>
        <v>#DIV/0!</v>
      </c>
    </row>
    <row r="58" spans="3:10" ht="34" x14ac:dyDescent="0.2">
      <c r="C58" s="3"/>
      <c r="D58" s="22"/>
      <c r="F58" s="28"/>
      <c r="G58" s="3" t="s">
        <v>113</v>
      </c>
      <c r="H58" s="22">
        <f>SUMIF($D$5:$D$34,G58,$K$5:$K$34)</f>
        <v>1</v>
      </c>
      <c r="I58" s="2">
        <f>COUNTIF($D$5:$D$34,G58)</f>
        <v>1</v>
      </c>
      <c r="J58" s="28">
        <f t="shared" si="6"/>
        <v>1</v>
      </c>
    </row>
    <row r="59" spans="3:10" ht="17" x14ac:dyDescent="0.2">
      <c r="C59" s="3"/>
      <c r="D59" s="22"/>
      <c r="F59" s="28"/>
      <c r="G59" s="3" t="s">
        <v>114</v>
      </c>
      <c r="H59" s="22">
        <f>SUMIF($D$5:$D$34,G59,$K$5:$K$34)</f>
        <v>0</v>
      </c>
      <c r="I59" s="2">
        <f>COUNTIF($D$5:$D$34,G59)</f>
        <v>0</v>
      </c>
      <c r="J59" s="28" t="e">
        <f t="shared" si="6"/>
        <v>#DIV/0!</v>
      </c>
    </row>
  </sheetData>
  <autoFilter ref="B3:O59" xr:uid="{958886B9-0541-417B-A78F-1155184C9D2E}"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36">
    <mergeCell ref="H1:J1"/>
    <mergeCell ref="N1:O1"/>
    <mergeCell ref="G3:M3"/>
    <mergeCell ref="N3:N4"/>
    <mergeCell ref="O3:O4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34:M34"/>
    <mergeCell ref="L27:M27"/>
    <mergeCell ref="L28:M28"/>
    <mergeCell ref="L29:M29"/>
    <mergeCell ref="L30:M30"/>
    <mergeCell ref="L25:M25"/>
    <mergeCell ref="L26:M26"/>
    <mergeCell ref="L31:M31"/>
    <mergeCell ref="L32:M32"/>
    <mergeCell ref="L33:M33"/>
  </mergeCells>
  <phoneticPr fontId="6" type="noConversion"/>
  <conditionalFormatting sqref="G3 G4:J34">
    <cfRule type="cellIs" dxfId="4" priority="6" operator="equal">
      <formula>"N/A"</formula>
    </cfRule>
    <cfRule type="cellIs" dxfId="3" priority="7" operator="equal">
      <formula>"Unidentified"</formula>
    </cfRule>
    <cfRule type="cellIs" dxfId="2" priority="8" operator="equal">
      <formula>"△"</formula>
    </cfRule>
    <cfRule type="cellIs" dxfId="1" priority="9" operator="equal">
      <formula>"X"</formula>
    </cfRule>
    <cfRule type="cellIs" dxfId="0" priority="10" operator="equal">
      <formula>"O"</formula>
    </cfRule>
  </conditionalFormatting>
  <dataValidations count="2">
    <dataValidation type="list" allowBlank="1" showInputMessage="1" showErrorMessage="1" sqref="G5:J34" xr:uid="{85B19D58-7384-4EF2-BCD2-58E39CEA33A7}">
      <formula1>"O,X,△,N/A,Unidentified"</formula1>
    </dataValidation>
    <dataValidation type="list" allowBlank="1" showInputMessage="1" showErrorMessage="1" sqref="E5:E34" xr:uid="{49E50B82-07CC-4A95-B51A-9BF00215695C}">
      <formula1>"①Intrusion Threat Detection, ②Unauthorized External Access Defense, ③Malware Infection Prevention, ④Malware Lateral Move Prevention, ⑤Information Leakage Prevention, ⑥System Recovery, ⑦Incident Analysis and Response, ⑧Denial-of-Service Attack Prevention"</formula1>
    </dataValidation>
  </dataValidations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32452134-c4e9-43b2-9635-c7b36d56765a}" enabled="1" method="Privileged" siteId="{becdc98a-bfc9-4ffa-ade6-892577ce9a5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Sercurity Checklist (2)</vt:lpstr>
    </vt:vector>
  </TitlesOfParts>
  <Company>HMMA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Girard, Cody M - HMMA Cybersecurity</dc:creator>
  <cp:lastModifiedBy>Office365</cp:lastModifiedBy>
  <dcterms:created xsi:type="dcterms:W3CDTF">2025-09-30T17:58:59Z</dcterms:created>
  <dcterms:modified xsi:type="dcterms:W3CDTF">2026-01-19T06:27:18Z</dcterms:modified>
</cp:coreProperties>
</file>